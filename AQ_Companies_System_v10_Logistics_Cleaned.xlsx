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Logistics &amp; Tracking" sheetId="2" r:id="rId2"/>
    <sheet name="Account &amp; Routing Details" sheetId="3" r:id="rId3"/>
    <sheet name="Account Statement" sheetId="4" r:id="rId4"/>
    <sheet name="Invoice Generator" sheetId="5" r:id="rId5"/>
    <sheet name="Proforma Invoices" sheetId="6" r:id="rId6"/>
  </sheets>
  <definedNames>
    <definedName name="_xlnm._FilterDatabase" localSheetId="1" hidden="1">'Logistics &amp; Tracking'!B5:J7</definedName>
    <definedName name="_xlnm._FilterDatabase" localSheetId="3" hidden="1">'Account Statement'!A6:G100</definedName>
    <definedName name="_xlnm.Print_Area" localSheetId="4">'Invoice Generator'!$A$1:$H$35</definedName>
    <definedName name="_xlnm._FilterDatabase" localSheetId="5" hidden="1">'Proforma Invoices'!B6:H100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$#,##0.00"/>
    <numFmt numFmtId="164" formatCode="&quot;$&quot;#,##0.00;[Red]\-&quot;$&quot;#,##0.00;&quot;&quot;"/>
    <numFmt numFmtId="165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65" fontId="0" fillId="0" borderId="0" xfId="0" applyNumberFormat="1"/>
    <xf numFmtId="164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"/>
  <sheetViews>
    <sheetView workbookViewId="0" rightToLeft="0"/>
  </sheetViews>
  <cols>
    <col min="1" max="1" customWidth="1" width="4"/>
    <col min="2" max="2" customWidth="1" width="18"/>
    <col min="3" max="3" customWidth="1" width="30"/>
    <col min="4" max="4" customWidth="1" width="18"/>
    <col min="5" max="5" customWidth="1" width="4"/>
    <col min="6" max="6" customWidth="1" width="35"/>
    <col min="7" max="7" customWidth="1" width="4"/>
  </cols>
  <sheetData>
    <row r="1" ht="25" customHeight="1">
      <c r="AA1" t="str">
        <v>Metric</v>
      </c>
      <c r="AB1" t="str">
        <v>Amount</v>
      </c>
    </row>
    <row r="2" ht="45" customHeight="1">
      <c r="B2" t="str">
        <v>AQ COMPANIES</v>
      </c>
      <c r="F2" t="str">
        <v>SKY ARIANA LTD</v>
      </c>
      <c r="AA2" t="str">
        <v>Total Credits (In)</v>
      </c>
      <c r="AB2">
        <f>SUM('Account Statement'!F:F)</f>
        <v/>
      </c>
    </row>
    <row r="3" ht="25" customHeight="1">
      <c r="B3" t="str">
        <v>Corporate Logistics &amp; Banking Portal   |   Account: 101502******0472</v>
      </c>
      <c r="AA3" t="str">
        <v>Total Debits (Out)</v>
      </c>
      <c r="AB3">
        <f>SUM('Account Statement'!E:E)</f>
        <v/>
      </c>
    </row>
    <row r="4"/>
    <row r="5">
      <c r="B5" t="str">
        <v>TOTAL AVAILABLE BALANCE</v>
      </c>
      <c r="F5" t="str">
        <v>PENDING RECEIVABLES (INVOICED)</v>
      </c>
    </row>
    <row r="6" ht="40" customHeight="1">
      <c r="B6" s="1">
        <f>B9 - C9</f>
        <v/>
      </c>
      <c r="F6" s="1">
        <f>SUMIF('Proforma Invoices'!H:H, "Pending", 'Proforma Invoices'!G:G)</f>
        <v/>
      </c>
    </row>
    <row r="7"/>
    <row r="8">
      <c r="B8" t="str">
        <v>TOTAL CREDITS (IN)</v>
      </c>
      <c r="C8" t="str">
        <v>TOTAL DEBITS (OUT)</v>
      </c>
      <c r="F8" t="str">
        <v>TOTAL INVOICED (ALL TIME)</v>
      </c>
    </row>
    <row r="9" ht="30" customHeight="1">
      <c r="B9" s="1">
        <f>SUM('Account Statement'!F:F)</f>
        <v/>
      </c>
      <c r="C9" s="1">
        <f>SUM('Account Statement'!E:E)</f>
        <v/>
      </c>
      <c r="F9" s="1">
        <f>SUM('Proforma Invoices'!G:G)</f>
        <v/>
      </c>
    </row>
    <row r="10"/>
    <row r="11"/>
    <row r="12">
      <c r="B12" t="str">
        <v>LATEST TRANSACTIONS</v>
      </c>
      <c r="F12" t="str">
        <v>SYSTEM SHORTCUTS</v>
      </c>
    </row>
    <row r="13">
      <c r="B13" t="str">
        <v>Date</v>
      </c>
      <c r="C13" t="str">
        <v>Description</v>
      </c>
      <c r="D13" t="str">
        <v>Amount</v>
      </c>
      <c r="F13" t="str">
        <v>Go to Account Statement</v>
      </c>
    </row>
    <row r="14">
      <c r="B14">
        <f>IF(COUNTA('Account Statement'!A:A)&gt;=2, INDEX('Account Statement'!A:A, COUNTA('Account Statement'!A:A)+5-0), "")</f>
        <v/>
      </c>
      <c r="C14">
        <f>IF(COUNTA('Account Statement'!A:A)&gt;=2, INDEX('Account Statement'!C:C, COUNTA('Account Statement'!A:A)+5-0), "")</f>
        <v/>
      </c>
      <c r="D14" s="2">
        <f>IF(COUNTA('Account Statement'!A:A)&gt;=2, INDEX('Account Statement'!F:F, COUNTA('Account Statement'!A:A)+5-0) - INDEX('Account Statement'!E:E, COUNTA('Account Statement'!A:A)+5-0), "")</f>
        <v/>
      </c>
      <c r="F14" s="1" t="str">
        <v>Go to Proforma Invoices</v>
      </c>
    </row>
    <row r="15">
      <c r="B15">
        <f>IF(COUNTA('Account Statement'!A:A)&gt;=3, INDEX('Account Statement'!A:A, COUNTA('Account Statement'!A:A)+5-1), "")</f>
        <v/>
      </c>
      <c r="C15">
        <f>IF(COUNTA('Account Statement'!A:A)&gt;=3, INDEX('Account Statement'!C:C, COUNTA('Account Statement'!A:A)+5-1), "")</f>
        <v/>
      </c>
      <c r="D15" s="2">
        <f>IF(COUNTA('Account Statement'!A:A)&gt;=3, INDEX('Account Statement'!F:F, COUNTA('Account Statement'!A:A)+5-1) - INDEX('Account Statement'!E:E, COUNTA('Account Statement'!A:A)+5-1), "")</f>
        <v/>
      </c>
      <c r="F15" s="2" t="str">
        <v>Create New Invoice</v>
      </c>
    </row>
    <row r="16">
      <c r="B16">
        <f>IF(COUNTA('Account Statement'!A:A)&gt;=4, INDEX('Account Statement'!A:A, COUNTA('Account Statement'!A:A)+5-2), "")</f>
        <v/>
      </c>
      <c r="C16">
        <f>IF(COUNTA('Account Statement'!A:A)&gt;=4, INDEX('Account Statement'!C:C, COUNTA('Account Statement'!A:A)+5-2), "")</f>
        <v/>
      </c>
      <c r="D16" s="2">
        <f>IF(COUNTA('Account Statement'!A:A)&gt;=4, INDEX('Account Statement'!F:F, COUNTA('Account Statement'!A:A)+5-2) - INDEX('Account Statement'!E:E, COUNTA('Account Statement'!A:A)+5-2), "")</f>
        <v/>
      </c>
      <c r="F16" s="2" t="str">
        <v>View Bank Routing Details</v>
      </c>
    </row>
    <row r="17">
      <c r="B17">
        <f>IF(COUNTA('Account Statement'!A:A)&gt;=5, INDEX('Account Statement'!A:A, COUNTA('Account Statement'!A:A)+5-3), "")</f>
        <v/>
      </c>
      <c r="C17">
        <f>IF(COUNTA('Account Statement'!A:A)&gt;=5, INDEX('Account Statement'!C:C, COUNTA('Account Statement'!A:A)+5-3), "")</f>
        <v/>
      </c>
      <c r="D17" s="2">
        <f>IF(COUNTA('Account Statement'!A:A)&gt;=5, INDEX('Account Statement'!F:F, COUNTA('Account Statement'!A:A)+5-3) - INDEX('Account Statement'!E:E, COUNTA('Account Statement'!A:A)+5-3), "")</f>
        <v/>
      </c>
      <c r="F17" s="2" t="str">
        <v>Track Active Shipments</v>
      </c>
    </row>
    <row r="18"/>
    <row r="19">
      <c r="B19" t="str">
        <v>CASH FLOW VISUALIZATION</v>
      </c>
    </row>
    <row r="20">
      <c r="B20" t="str">
        <v>Total Incoming</v>
      </c>
      <c r="C20" s="1">
        <f>B9</f>
        <v/>
      </c>
    </row>
    <row r="21">
      <c r="B21" t="str">
        <v>Total Outgoing</v>
      </c>
      <c r="C21" s="1">
        <f>C9</f>
        <v/>
      </c>
    </row>
    <row r="22"/>
    <row r="23"/>
    <row r="24"/>
    <row r="25"/>
    <row r="26"/>
    <row r="27"/>
    <row r="28"/>
    <row r="29"/>
    <row r="30"/>
    <row r="31"/>
    <row r="32"/>
    <row r="33"/>
    <row r="34"/>
  </sheetData>
  <mergeCells count="14">
    <mergeCell ref="B8"/>
    <mergeCell ref="C20:D20"/>
    <mergeCell ref="B19:D19"/>
    <mergeCell ref="B5:D5"/>
    <mergeCell ref="B9"/>
    <mergeCell ref="F8"/>
    <mergeCell ref="C21:D21"/>
    <mergeCell ref="F9"/>
    <mergeCell ref="F5"/>
    <mergeCell ref="C9:D9"/>
    <mergeCell ref="B12:D12"/>
    <mergeCell ref="F6"/>
    <mergeCell ref="B6:D6"/>
    <mergeCell ref="C8:D8"/>
  </mergeCells>
  <hyperlinks>
    <hyperlink ref="F13" location="Account Statement!A1"/>
    <hyperlink ref="F14" location="Proforma Invoices!A1"/>
    <hyperlink ref="F15" location="Invoice Generator!A1"/>
    <hyperlink ref="F16" location="'Account &amp;amp; Routing Details'!A1"/>
    <hyperlink ref="F17" location="'Logistics &amp;amp; Tracking'!A1"/>
  </hyperlinks>
  <pageMargins left="0.75" right="0.75" top="1" bottom="1" header="0.5" footer="0.5"/>
  <ignoredErrors>
    <ignoredError numberStoredAsText="1" sqref="A1:A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9"/>
  <sheetViews>
    <sheetView workbookViewId="0" rightToLeft="0"/>
  </sheetViews>
  <cols>
    <col min="1" max="1" customWidth="1" width="4"/>
    <col min="2" max="2" customWidth="1" width="12"/>
    <col min="3" max="3" customWidth="1" width="18"/>
    <col min="4" max="4" customWidth="1" width="15"/>
    <col min="5" max="5" customWidth="1" width="20"/>
    <col min="6" max="6" customWidth="1" width="20"/>
    <col min="7" max="7" customWidth="1" width="25"/>
    <col min="8" max="8" customWidth="1" width="20"/>
    <col min="9" max="9" customWidth="1" width="15"/>
    <col min="10" max="10" customWidth="1" width="20"/>
  </cols>
  <sheetData>
    <row r="1" ht="20" customHeight="1"/>
    <row r="2" ht="35" customHeight="1">
      <c r="B2" t="str">
        <v>Shipment &amp; Container Tracking</v>
      </c>
    </row>
    <row r="3" ht="20" customHeight="1">
      <c r="B3" t="str">
        <v>AQ Companies • Active Freight Logistics</v>
      </c>
    </row>
    <row r="4" ht="15" customHeight="1"/>
    <row r="5">
      <c r="B5" t="str">
        <v>Date</v>
      </c>
      <c r="C5" t="str">
        <v>Shipment Ref</v>
      </c>
      <c r="D5" t="str">
        <v>Proforma Ref</v>
      </c>
      <c r="E5" t="str">
        <v>Container No</v>
      </c>
      <c r="F5" t="str">
        <v>B/L Number</v>
      </c>
      <c r="G5" t="str">
        <v>Origin -&gt; Destination</v>
      </c>
      <c r="H5" t="str">
        <v>Vessel / Carrier</v>
      </c>
      <c r="I5" t="str">
        <v>ETA</v>
      </c>
      <c r="J5" t="str">
        <v>Status</v>
      </c>
    </row>
    <row r="6">
      <c r="B6" t="str">
        <v>10-Oct-2026</v>
      </c>
      <c r="C6" t="str">
        <v>SHP-9001</v>
      </c>
      <c r="D6" t="str">
        <v>001</v>
      </c>
      <c r="E6" t="str">
        <v>MSKU9023418</v>
      </c>
      <c r="F6" t="str">
        <v>BL-1928374</v>
      </c>
      <c r="G6" t="str">
        <v>Kandahar -&gt; Nhava Sheva</v>
      </c>
      <c r="H6" t="str">
        <v>Maersk Line</v>
      </c>
      <c r="I6" t="str">
        <v>22-Oct-2026</v>
      </c>
      <c r="J6" t="str">
        <v>In Transit</v>
      </c>
    </row>
    <row r="7">
      <c r="B7" t="str">
        <v>12-Oct-2026</v>
      </c>
      <c r="C7" t="str">
        <v>SHP-9002</v>
      </c>
      <c r="D7" t="str">
        <v>002</v>
      </c>
      <c r="E7" t="str">
        <v>TGHU8172635</v>
      </c>
      <c r="F7" t="str">
        <v>BL-1928375</v>
      </c>
      <c r="G7" t="str">
        <v>Dogharoun -&gt; Jebel Ali</v>
      </c>
      <c r="H7" t="str">
        <v>MSC</v>
      </c>
      <c r="I7" t="str">
        <v>18-Oct-2026</v>
      </c>
      <c r="J7" t="str">
        <v>At Origin Port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autoFilter ref="B5:J7"/>
  <pageMargins left="0.75" right="0.75" top="1" bottom="1" header="0.5" footer="0.5"/>
  <ignoredErrors>
    <ignoredError numberStoredAsText="1" sqref="A1:K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 rightToLeft="0"/>
  </sheetViews>
  <cols>
    <col min="1" max="1" customWidth="1" width="5"/>
    <col min="2" max="2" customWidth="1" width="30"/>
    <col min="3" max="3" customWidth="1" width="25"/>
    <col min="4" max="4" customWidth="1" width="25"/>
  </cols>
  <sheetData>
    <row r="1"/>
    <row r="2">
      <c r="B2" t="str">
        <v>Official Banking Details</v>
      </c>
    </row>
    <row r="3"/>
    <row r="4"/>
    <row r="5">
      <c r="B5" t="str">
        <v>Primary USD Account Info</v>
      </c>
    </row>
    <row r="6"/>
    <row r="7">
      <c r="B7" t="str">
        <v>Bank Name:</v>
      </c>
      <c r="C7" t="str">
        <v>AFGHAN UNITED BANK</v>
      </c>
    </row>
    <row r="8">
      <c r="B8" t="str">
        <v>Beneficiary Name:</v>
      </c>
      <c r="C8" t="str">
        <v>SKY ARIANA LTD</v>
      </c>
    </row>
    <row r="9">
      <c r="B9" t="str">
        <v>Account Number (USD):</v>
      </c>
      <c r="C9" t="str">
        <v>101502USD2940472</v>
      </c>
    </row>
    <row r="10">
      <c r="B10" t="str">
        <v>Bank SWIFT Code:</v>
      </c>
      <c r="C10" t="str">
        <v>AFGUAFKAXXX</v>
      </c>
    </row>
    <row r="11"/>
    <row r="12"/>
    <row r="13">
      <c r="B13" t="str">
        <v>Correspondent Bank Info (For SWIFT Routing)</v>
      </c>
    </row>
    <row r="14"/>
    <row r="15">
      <c r="B15" t="str">
        <v>Correspondent Bank:</v>
      </c>
      <c r="C15" t="str">
        <v>DA AFGHANISTAN BANK</v>
      </c>
    </row>
    <row r="16">
      <c r="B16" t="str">
        <v>Correspondent SWIFT:</v>
      </c>
      <c r="C16" t="str">
        <v>AFGBAFKA</v>
      </c>
    </row>
    <row r="17"/>
    <row r="18"/>
    <row r="19"/>
  </sheetData>
  <mergeCells count="6">
    <mergeCell ref="C10:D10"/>
    <mergeCell ref="C7:D7"/>
    <mergeCell ref="C16:D16"/>
    <mergeCell ref="C15:D15"/>
    <mergeCell ref="C9:D9"/>
    <mergeCell ref="C8:D8"/>
  </mergeCells>
  <pageMargins left="0.75" right="0.75" top="1" bottom="1" header="0.5" footer="0.5"/>
  <ignoredErrors>
    <ignoredError numberStoredAsText="1" sqref="A1:I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9"/>
  <sheetViews>
    <sheetView workbookViewId="0" rightToLeft="0"/>
  </sheetViews>
  <cols>
    <col min="1" max="1" customWidth="1" width="4"/>
    <col min="2" max="2" customWidth="1" width="25"/>
    <col min="3" max="3" customWidth="1" width="50"/>
    <col min="4" max="4" customWidth="1" width="15"/>
    <col min="5" max="5" customWidth="1" width="18"/>
    <col min="6" max="6" customWidth="1" width="18"/>
    <col min="7" max="7" customWidth="1" width="22"/>
    <col min="8" max="8" customWidth="1" width="12"/>
  </cols>
  <sheetData>
    <row r="1" ht="20" customHeight="1"/>
    <row r="2" ht="35" customHeight="1">
      <c r="B2" t="str">
        <v>Transaction History</v>
      </c>
    </row>
    <row r="3" ht="20" customHeight="1">
      <c r="B3" t="str">
        <v>AQ Companies • Account Statement</v>
      </c>
    </row>
    <row r="4" ht="15" customHeight="1">
      <c r="B4" t="str">
        <v/>
      </c>
    </row>
    <row r="5">
      <c r="H5" t="str">
        <v>Reconciled</v>
      </c>
    </row>
    <row r="6">
      <c r="A6" t="str">
        <v>Date</v>
      </c>
      <c r="B6" t="str">
        <v>Transaction ID / Ref</v>
      </c>
      <c r="C6" t="str">
        <v>Description</v>
      </c>
      <c r="D6" t="str">
        <v>Category</v>
      </c>
      <c r="E6" t="str">
        <v>Debit (USD)</v>
      </c>
      <c r="F6" t="str">
        <v>Credit (USD)</v>
      </c>
      <c r="G6" t="str">
        <v>Running Balance</v>
      </c>
    </row>
    <row r="7">
      <c r="A7" t="str">
        <v>01-Sep-2026</v>
      </c>
      <c r="B7" t="str">
        <v>N/A</v>
      </c>
      <c r="C7" t="str">
        <v>Starting Balance Prior to Transfers</v>
      </c>
      <c r="D7" t="str">
        <v>Balance</v>
      </c>
      <c r="E7" s="2">
        <v>0</v>
      </c>
      <c r="F7" s="2">
        <v>83.36</v>
      </c>
      <c r="G7" s="3">
        <f>F7</f>
        <v>83.36</v>
      </c>
      <c r="H7" t="str">
        <v>Reconciled</v>
      </c>
    </row>
    <row r="8">
      <c r="A8" t="str">
        <v>30-Sep-2026</v>
      </c>
      <c r="B8" t="str">
        <v>0464AIR261771143</v>
      </c>
      <c r="C8" t="str">
        <v>Inward Transfer: G.T JAYANTI AGROCHEM (INV 001)</v>
      </c>
      <c r="D8" t="str">
        <v>Credit</v>
      </c>
      <c r="E8" s="2">
        <v>0</v>
      </c>
      <c r="F8" s="2">
        <v>78893.36</v>
      </c>
      <c r="G8" s="3">
        <f>G7+F8-E8</f>
        <v>78976.72</v>
      </c>
      <c r="H8" t="str">
        <v>Reconciled</v>
      </c>
    </row>
    <row r="9">
      <c r="A9" t="str">
        <v>08-Oct-2026</v>
      </c>
      <c r="B9" t="str">
        <v>8483AIR261778937</v>
      </c>
      <c r="C9" t="str">
        <v>Inward Transfer: GT INDIA PVT LTD</v>
      </c>
      <c r="D9" t="str">
        <v>Credit</v>
      </c>
      <c r="E9" s="2">
        <v>0</v>
      </c>
      <c r="F9" s="2">
        <v>74376.25</v>
      </c>
      <c r="G9" s="3">
        <f>G8+F9-E9</f>
        <v>153352.97</v>
      </c>
      <c r="H9" t="str">
        <v>Reconciled</v>
      </c>
    </row>
    <row r="10">
      <c r="A10" t="str">
        <v>08-Oct-2026</v>
      </c>
      <c r="B10" t="str">
        <v>N/A</v>
      </c>
      <c r="C10" t="str">
        <v>Payment to Hayatullah Noori</v>
      </c>
      <c r="D10" t="str">
        <v>Debit</v>
      </c>
      <c r="E10" s="2">
        <v>15200</v>
      </c>
      <c r="F10" s="2">
        <v>0</v>
      </c>
      <c r="G10" s="3">
        <f>G9+F10-E10</f>
        <v>138152.97</v>
      </c>
      <c r="H10" t="str">
        <v>Reconciled</v>
      </c>
    </row>
    <row r="11">
      <c r="A11" t="str">
        <v>08-Oct-2026</v>
      </c>
      <c r="B11" t="str">
        <v>AD 5708262</v>
      </c>
      <c r="C11" t="str">
        <v>Payment to Sodiqjon Aminov (Tashkent)</v>
      </c>
      <c r="D11" t="str">
        <v>Debit</v>
      </c>
      <c r="E11" s="2">
        <v>35000</v>
      </c>
      <c r="F11" s="2">
        <v>0</v>
      </c>
      <c r="G11" s="3">
        <f>G10+F11-E11</f>
        <v>103152.97</v>
      </c>
      <c r="H11" t="str">
        <v>Reconciled</v>
      </c>
    </row>
    <row r="12">
      <c r="A12" t="str">
        <v>08-Oct-2026</v>
      </c>
      <c r="B12" t="str">
        <v>N/A</v>
      </c>
      <c r="C12" t="str">
        <v>Payment to NAJEB AMIN LTD</v>
      </c>
      <c r="D12" t="str">
        <v>Debit</v>
      </c>
      <c r="E12" s="2">
        <v>78893.36</v>
      </c>
      <c r="F12" s="2">
        <v>0</v>
      </c>
      <c r="G12" s="3">
        <f>G11+F12-E12</f>
        <v>24259.61</v>
      </c>
      <c r="H12" t="str">
        <v>Reconciled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autoFilter ref="A6:G100"/>
  <pageMargins left="0.75" right="0.75" top="1" bottom="1" header="0.5" footer="0.5"/>
  <ignoredErrors>
    <ignoredError numberStoredAsText="1" sqref="A1:H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9"/>
  <sheetViews>
    <sheetView workbookViewId="0" rightToLeft="0"/>
  </sheetViews>
  <cols>
    <col min="1" max="1" customWidth="1" width="5"/>
    <col min="2" max="2" customWidth="1" width="15"/>
    <col min="3" max="3" customWidth="1" width="15"/>
    <col min="4" max="4" customWidth="1" width="15"/>
    <col min="5" max="5" customWidth="1" width="20"/>
    <col min="6" max="6" customWidth="1" width="20"/>
    <col min="7" max="7" customWidth="1" width="25"/>
  </cols>
  <sheetData>
    <row r="1" ht="90" customHeight="1"/>
    <row r="2" ht="35" customHeight="1">
      <c r="B2" t="str">
        <v>PROFORMA INVOICE</v>
      </c>
      <c r="F2" t="str">
        <v>Date:</v>
      </c>
    </row>
    <row r="3" ht="20" customHeight="1">
      <c r="B3" t="str">
        <v>SKY ARIANA LTD</v>
      </c>
      <c r="F3" t="str">
        <v>Proforma No:</v>
      </c>
    </row>
    <row r="4">
      <c r="B4" t="str">
        <v>info@skyariana.com | www.skyariana.com</v>
      </c>
      <c r="F4" t="str">
        <v>Payment Terms:</v>
      </c>
      <c r="G4" t="str">
        <v>100% Advance Payment</v>
      </c>
    </row>
    <row r="5"/>
    <row r="6">
      <c r="B6" t="str">
        <v>BILL TO / CONSIGNEE:</v>
      </c>
    </row>
    <row r="7">
      <c r="B7" t="str">
        <v>[Enter Company Name]</v>
      </c>
    </row>
    <row r="8">
      <c r="B8" t="str">
        <v>[Enter Address Line 1]</v>
      </c>
    </row>
    <row r="9">
      <c r="B9" t="str">
        <v>[Enter Address Line 2]</v>
      </c>
    </row>
    <row r="10"/>
    <row r="11"/>
    <row r="12">
      <c r="B12" t="str">
        <v>Item Description</v>
      </c>
      <c r="E12" t="str">
        <v>Total Net Wt (KG)</v>
      </c>
      <c r="F12" t="str">
        <v>C&amp;F Unit Price (USD)</v>
      </c>
      <c r="G12" t="str">
        <v>Total Amount (USD)</v>
      </c>
    </row>
    <row r="13">
      <c r="G13" s="1">
        <f>IF(ISBLANK(E13), "", E13*F13)</f>
        <v/>
      </c>
    </row>
    <row r="14">
      <c r="G14" s="1">
        <f>IF(ISBLANK(E14), "", E14*F14)</f>
        <v/>
      </c>
    </row>
    <row r="15">
      <c r="G15" s="1">
        <f>IF(ISBLANK(E15), "", E15*F15)</f>
        <v/>
      </c>
    </row>
    <row r="16">
      <c r="G16" s="1">
        <f>IF(ISBLANK(E16), "", E16*F16)</f>
        <v/>
      </c>
    </row>
    <row r="17">
      <c r="G17" s="1">
        <f>IF(ISBLANK(E17), "", E17*F17)</f>
        <v/>
      </c>
    </row>
    <row r="18">
      <c r="G18" s="1">
        <f>IF(ISBLANK(E18), "", E18*F18)</f>
        <v/>
      </c>
    </row>
    <row r="19">
      <c r="G19" s="1">
        <f>IF(ISBLANK(E19), "", E19*F19)</f>
        <v/>
      </c>
    </row>
    <row r="20">
      <c r="G20" s="1">
        <f>IF(ISBLANK(E20), "", E20*F20)</f>
        <v/>
      </c>
    </row>
    <row r="21">
      <c r="G21" s="1">
        <f>IF(ISBLANK(E21), "", E21*F21)</f>
        <v/>
      </c>
    </row>
    <row r="22">
      <c r="G22" s="1">
        <f>IF(ISBLANK(E22), "", E22*F22)</f>
        <v/>
      </c>
    </row>
    <row r="23"/>
    <row r="24">
      <c r="F24" t="str">
        <v>GRAND TOTAL:</v>
      </c>
      <c r="G24" s="1">
        <f>SUM(G13:G22)</f>
        <v/>
      </c>
    </row>
    <row r="25"/>
    <row r="26">
      <c r="B26" t="str">
        <v>BANKING DETAILS FOR PAYMENT</v>
      </c>
    </row>
    <row r="27"/>
    <row r="28">
      <c r="B28" t="str">
        <v>Bank Name:</v>
      </c>
      <c r="D28">
        <f>'Account &amp; Routing Details'!C7</f>
        <v/>
      </c>
    </row>
    <row r="29">
      <c r="B29" t="str">
        <v>Beneficiary Name:</v>
      </c>
      <c r="D29">
        <f>'Account &amp; Routing Details'!C8</f>
        <v/>
      </c>
    </row>
    <row r="30">
      <c r="B30" t="str">
        <v>Account No (USD):</v>
      </c>
      <c r="D30">
        <f>'Account &amp; Routing Details'!C9</f>
        <v/>
      </c>
    </row>
    <row r="31">
      <c r="B31" t="str">
        <v>SWIFT Code:</v>
      </c>
      <c r="D31">
        <f>'Account &amp; Routing Details'!C10</f>
        <v/>
      </c>
    </row>
    <row r="32">
      <c r="B32" t="str">
        <v>Correspondent Bank:</v>
      </c>
      <c r="D32">
        <f>'Account &amp; Routing Details'!C15</f>
        <v/>
      </c>
      <c r="G32" t="str">
        <v>Authorized Signature</v>
      </c>
    </row>
    <row r="33">
      <c r="B33" t="str">
        <v>Correspondent SWIFT:</v>
      </c>
      <c r="D33">
        <f>'Account &amp; Routing Details'!C16</f>
        <v/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26">
    <mergeCell ref="B14:D14"/>
    <mergeCell ref="B8:D8"/>
    <mergeCell ref="D32:F32"/>
    <mergeCell ref="B17:D17"/>
    <mergeCell ref="B13:D13"/>
    <mergeCell ref="B31:C31"/>
    <mergeCell ref="B19:D19"/>
    <mergeCell ref="D28:F28"/>
    <mergeCell ref="B9:D9"/>
    <mergeCell ref="B15:D15"/>
    <mergeCell ref="D30:F30"/>
    <mergeCell ref="D33:F33"/>
    <mergeCell ref="B20:D20"/>
    <mergeCell ref="D29:F29"/>
    <mergeCell ref="B29:C29"/>
    <mergeCell ref="B28:C28"/>
    <mergeCell ref="B7:D7"/>
    <mergeCell ref="B16:D16"/>
    <mergeCell ref="B30:C30"/>
    <mergeCell ref="B33:C33"/>
    <mergeCell ref="B22:D22"/>
    <mergeCell ref="D31:F31"/>
    <mergeCell ref="B18:D18"/>
    <mergeCell ref="B32:C32"/>
    <mergeCell ref="B21:D21"/>
    <mergeCell ref="B12:D12"/>
  </mergeCells>
  <pageMargins left="0.5" right="0.5" top="0.75" bottom="0.75" header="0.5" footer="0.5"/>
  <ignoredErrors>
    <ignoredError numberStoredAsText="1" sqref="A1:I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 rightToLeft="0"/>
  </sheetViews>
  <cols>
    <col min="1" max="1" customWidth="1" width="4"/>
    <col min="2" max="2" customWidth="1" width="15"/>
    <col min="3" max="3" customWidth="1" width="15"/>
    <col min="4" max="4" customWidth="1" width="40"/>
    <col min="5" max="5" customWidth="1" width="40"/>
    <col min="6" max="6" customWidth="1" width="20"/>
    <col min="7" max="7" customWidth="1" width="25"/>
    <col min="8" max="8" customWidth="1" width="20"/>
  </cols>
  <sheetData>
    <row r="1" ht="20" customHeight="1"/>
    <row r="2" ht="35" customHeight="1">
      <c r="B2" t="str">
        <v>Receivables &amp; Invoices</v>
      </c>
    </row>
    <row r="3" ht="20" customHeight="1">
      <c r="B3" t="str">
        <v>AQ Companies • Proforma Tracking</v>
      </c>
    </row>
    <row r="4" ht="15" customHeight="1">
      <c r="B4" t="str">
        <v/>
      </c>
    </row>
    <row r="5"/>
    <row r="6">
      <c r="B6" t="str">
        <v>Invoice Date</v>
      </c>
      <c r="C6" t="str">
        <v>Proforma No</v>
      </c>
      <c r="D6" t="str">
        <v>Buyer / Consignee</v>
      </c>
      <c r="E6" t="str">
        <v>Item Description</v>
      </c>
      <c r="F6" t="str">
        <v>Total Net Wt (KG)</v>
      </c>
      <c r="G6" t="str">
        <v>Expected Amount (USD)</v>
      </c>
      <c r="H6" t="str">
        <v>Payment Status</v>
      </c>
    </row>
    <row r="7">
      <c r="B7" t="str">
        <v>05-Sep-2026</v>
      </c>
      <c r="C7" t="str">
        <v>001</v>
      </c>
      <c r="D7" t="str">
        <v>G.T JAYANTI AGROCHEM INDIA PVT LTD</v>
      </c>
      <c r="E7" t="str">
        <v>Black Raisins (Best) - 1,385 CTNS</v>
      </c>
      <c r="F7" s="4">
        <v>22160</v>
      </c>
      <c r="G7" s="2">
        <v>79332.8</v>
      </c>
      <c r="H7" t="str">
        <v>PAID (See Ledger)</v>
      </c>
    </row>
    <row r="8">
      <c r="B8" t="str">
        <v>23-Sep-2026</v>
      </c>
      <c r="C8" t="str">
        <v>001</v>
      </c>
      <c r="D8" t="str">
        <v>G.T INDIA PVT LTD</v>
      </c>
      <c r="E8" t="str">
        <v>Black Raisins - 2,300 CTNS</v>
      </c>
      <c r="F8" s="4">
        <v>23000</v>
      </c>
      <c r="G8" s="2">
        <v>74750</v>
      </c>
      <c r="H8" t="str">
        <v>PAID (See Ledger)</v>
      </c>
    </row>
    <row r="9">
      <c r="B9" t="str">
        <v>23-Sep-2026</v>
      </c>
      <c r="C9" t="str">
        <v>002</v>
      </c>
      <c r="D9" t="str">
        <v>G.T INDIA PVT LTD</v>
      </c>
      <c r="E9" t="str">
        <v>Black Raisins - 2,295 CTNS</v>
      </c>
      <c r="F9" s="4">
        <v>22950</v>
      </c>
      <c r="G9" s="2">
        <v>74587.5</v>
      </c>
      <c r="H9" t="str">
        <v>Pending</v>
      </c>
    </row>
    <row r="10">
      <c r="B10" t="str">
        <v>23-Sep-2026</v>
      </c>
      <c r="C10" t="str">
        <v>002</v>
      </c>
      <c r="D10" t="str">
        <v>G.T JAYANTI AGROCHEM INDIA PVT LTD</v>
      </c>
      <c r="E10" t="str">
        <v>Black Raisins - 2,250 CTNS</v>
      </c>
      <c r="F10" s="4">
        <v>22500</v>
      </c>
      <c r="G10" s="2">
        <v>63000</v>
      </c>
      <c r="H10" t="str">
        <v>Pending</v>
      </c>
    </row>
    <row r="11">
      <c r="B11" t="str">
        <v>28-Sep-2026</v>
      </c>
      <c r="C11" t="str">
        <v>001</v>
      </c>
      <c r="D11" t="str">
        <v>MANIK TRADERS</v>
      </c>
      <c r="E11" t="str">
        <v>Black Raisins - 1,383 CTNS</v>
      </c>
      <c r="F11" s="4">
        <v>22128</v>
      </c>
      <c r="G11" s="2">
        <v>57533</v>
      </c>
      <c r="H11" t="str">
        <v>Pending</v>
      </c>
    </row>
    <row r="12">
      <c r="B12" t="str">
        <v>28-Sep-2026</v>
      </c>
      <c r="C12" t="str">
        <v>002</v>
      </c>
      <c r="D12" t="str">
        <v>MANIK TRADERS</v>
      </c>
      <c r="E12" t="str">
        <v>Black Raisins - 1,384 CTNS</v>
      </c>
      <c r="F12" s="4">
        <v>22144</v>
      </c>
      <c r="G12" s="2">
        <v>62003</v>
      </c>
      <c r="H12" t="str">
        <v>Pending</v>
      </c>
    </row>
    <row r="13">
      <c r="B13" t="str">
        <v>28-Sep-2026</v>
      </c>
      <c r="C13" t="str">
        <v>003</v>
      </c>
      <c r="D13" t="str">
        <v>MANIK TRADERS</v>
      </c>
      <c r="E13" t="str">
        <v>Black Raisins - 1,385 CTNS</v>
      </c>
      <c r="F13" s="4">
        <v>22160</v>
      </c>
      <c r="G13" s="2">
        <v>72020</v>
      </c>
      <c r="H13" t="str">
        <v>Pending</v>
      </c>
    </row>
    <row r="14">
      <c r="B14" t="str">
        <v>28-Sep-2026</v>
      </c>
      <c r="C14" t="str">
        <v>001</v>
      </c>
      <c r="D14" t="str">
        <v>SPDC BITES LLP</v>
      </c>
      <c r="E14" t="str">
        <v>Black Raisins - 1,382 CTNS</v>
      </c>
      <c r="F14" s="4">
        <v>22122</v>
      </c>
      <c r="G14" s="3">
        <v>71864</v>
      </c>
      <c r="H14" t="str">
        <v>Pending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autoFilter ref="B6:H100"/>
  <pageMargins left="0.75" right="0.75" top="1" bottom="1" header="0.5" footer="0.5"/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Logistics &amp; Tracking</vt:lpstr>
      <vt:lpstr>Account &amp; Routing Details</vt:lpstr>
      <vt:lpstr>Account Statement</vt:lpstr>
      <vt:lpstr>Invoice Generator</vt:lpstr>
      <vt:lpstr>Proforma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2026-10-08T13:34:32Z</dcterms:created>
  <dcterms:modified xsi:type="dcterms:W3CDTF">2026-10-09T07:49:06Z</dcterms:modified>
  <dc:creator>openpyxl</dc:creator>
</cp:coreProperties>
</file>